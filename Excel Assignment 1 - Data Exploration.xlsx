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1_{0CB7B618-B3BC-4999-B53E-64F4593AC8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L11" i="1" l="1"/>
  <c r="M11" i="1"/>
  <c r="P11" i="1"/>
  <c r="Q11" i="1"/>
  <c r="R11" i="1"/>
  <c r="L12" i="1"/>
  <c r="M12" i="1"/>
  <c r="P12" i="1"/>
  <c r="Q12" i="1"/>
  <c r="R12" i="1"/>
  <c r="L16" i="1"/>
  <c r="M16" i="1"/>
  <c r="P16" i="1"/>
  <c r="Q16" i="1"/>
  <c r="R16" i="1"/>
  <c r="V34" i="1"/>
  <c r="V30" i="1"/>
  <c r="V32" i="1"/>
  <c r="V26" i="1"/>
  <c r="O2" i="1"/>
  <c r="V23" i="1"/>
  <c r="N2" i="1"/>
  <c r="V20" i="1"/>
  <c r="M3" i="1"/>
  <c r="M4" i="1"/>
  <c r="M5" i="1"/>
  <c r="M6" i="1"/>
  <c r="M7" i="1"/>
  <c r="M8" i="1"/>
  <c r="M9" i="1"/>
  <c r="M10" i="1"/>
  <c r="M13" i="1"/>
  <c r="M14" i="1"/>
  <c r="M15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2" i="1"/>
  <c r="L3" i="1"/>
  <c r="V18" i="1"/>
  <c r="L2" i="1"/>
  <c r="K2" i="1"/>
  <c r="V15" i="1"/>
  <c r="V14" i="1"/>
  <c r="J2" i="1"/>
  <c r="V10" i="1"/>
  <c r="I2" i="1"/>
  <c r="V9" i="1"/>
  <c r="H2" i="1"/>
  <c r="V8" i="1"/>
  <c r="G2" i="1"/>
  <c r="R3" i="1"/>
  <c r="R4" i="1"/>
  <c r="R5" i="1"/>
  <c r="R6" i="1"/>
  <c r="R7" i="1"/>
  <c r="R8" i="1"/>
  <c r="R9" i="1"/>
  <c r="R10" i="1"/>
  <c r="R13" i="1"/>
  <c r="R14" i="1"/>
  <c r="R15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2" i="1"/>
  <c r="Q2" i="1"/>
  <c r="Q3" i="1"/>
  <c r="Q4" i="1"/>
  <c r="Q5" i="1"/>
  <c r="Q6" i="1"/>
  <c r="Q7" i="1"/>
  <c r="Q8" i="1"/>
  <c r="Q9" i="1"/>
  <c r="Q10" i="1"/>
  <c r="Q13" i="1"/>
  <c r="Q14" i="1"/>
  <c r="Q15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P3" i="1"/>
  <c r="P4" i="1"/>
  <c r="P5" i="1"/>
  <c r="P6" i="1"/>
  <c r="P7" i="1"/>
  <c r="P8" i="1"/>
  <c r="P9" i="1"/>
  <c r="P10" i="1"/>
  <c r="P13" i="1"/>
  <c r="P14" i="1"/>
  <c r="P15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2" i="1"/>
  <c r="L27" i="1"/>
  <c r="L28" i="1"/>
  <c r="L29" i="1"/>
  <c r="L30" i="1"/>
  <c r="L31" i="1"/>
  <c r="L32" i="1"/>
  <c r="L33" i="1"/>
  <c r="L34" i="1"/>
  <c r="L35" i="1"/>
  <c r="L18" i="1"/>
  <c r="L19" i="1"/>
  <c r="L20" i="1"/>
  <c r="L21" i="1"/>
  <c r="L22" i="1"/>
  <c r="L23" i="1"/>
  <c r="L24" i="1"/>
  <c r="L25" i="1"/>
  <c r="L26" i="1"/>
  <c r="L8" i="1"/>
  <c r="L9" i="1"/>
  <c r="L10" i="1"/>
  <c r="L13" i="1"/>
  <c r="L14" i="1"/>
  <c r="L15" i="1"/>
  <c r="L17" i="1"/>
  <c r="L5" i="1"/>
  <c r="L6" i="1"/>
  <c r="L7" i="1"/>
  <c r="L4" i="1"/>
</calcChain>
</file>

<file path=xl/sharedStrings.xml><?xml version="1.0" encoding="utf-8"?>
<sst xmlns="http://schemas.openxmlformats.org/spreadsheetml/2006/main" count="175" uniqueCount="125">
  <si>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</si>
  <si>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</si>
  <si>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</si>
  <si>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</si>
  <si>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</si>
  <si>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</si>
  <si>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</si>
  <si>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</si>
  <si>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</si>
  <si>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</si>
  <si>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</si>
  <si>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</si>
  <si>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</si>
  <si>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</si>
  <si>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</si>
  <si>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</si>
  <si>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</si>
  <si>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</si>
  <si>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</si>
  <si>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</si>
  <si>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</si>
  <si>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</si>
  <si>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</si>
  <si>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</si>
  <si>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</si>
  <si>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</si>
  <si>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</si>
  <si>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</si>
  <si>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</si>
  <si>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</si>
  <si>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</si>
  <si>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</si>
  <si>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</si>
  <si>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</si>
  <si>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</si>
  <si>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</si>
  <si>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</si>
  <si>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</si>
  <si>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</si>
  <si>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</si>
  <si>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</si>
  <si>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</si>
  <si>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</si>
  <si>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</si>
  <si>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</si>
  <si>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</si>
  <si>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</si>
  <si>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</si>
  <si>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</si>
  <si>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</si>
  <si>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</si>
  <si>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</si>
  <si>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</si>
  <si>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</si>
  <si>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</si>
  <si>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</si>
  <si>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</si>
  <si>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</si>
  <si>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</si>
  <si>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</si>
  <si>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</si>
  <si>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</si>
  <si>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</si>
  <si>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</si>
  <si>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</si>
  <si>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</si>
  <si>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</si>
  <si>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</si>
  <si>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</si>
  <si>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</si>
  <si>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</si>
  <si>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</si>
  <si>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</si>
  <si>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</si>
  <si>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</si>
  <si>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</si>
  <si>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</si>
  <si>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</si>
  <si>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</si>
  <si>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</si>
  <si>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</si>
  <si>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</si>
  <si>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</si>
  <si>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</si>
  <si>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</si>
  <si>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</si>
  <si>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</si>
  <si>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</si>
  <si>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</si>
  <si>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</si>
  <si>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</si>
  <si>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</si>
  <si>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</si>
  <si>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</si>
  <si>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Average Price</t>
  </si>
  <si>
    <t>Minimum Price</t>
  </si>
  <si>
    <t>Maximum Price</t>
  </si>
  <si>
    <t>Price Range.</t>
  </si>
  <si>
    <t>Electronics category. SUMIF</t>
  </si>
  <si>
    <t>COUNTIF function</t>
  </si>
  <si>
    <t>Day Column</t>
  </si>
  <si>
    <t>Country Code</t>
  </si>
  <si>
    <t>Month</t>
  </si>
  <si>
    <t xml:space="preserve">Total products </t>
  </si>
  <si>
    <t>how many products exist in the dataset.</t>
  </si>
  <si>
    <t>s.no</t>
  </si>
  <si>
    <t>Q/A</t>
  </si>
  <si>
    <t>Sum, Count, and Average</t>
  </si>
  <si>
    <t>total price of all products in the dataset.</t>
  </si>
  <si>
    <t>average price of the products.</t>
  </si>
  <si>
    <t>minimum price among all products.</t>
  </si>
  <si>
    <t>Minimum and Maximum Values</t>
  </si>
  <si>
    <t>Identify the maximum price among all products.</t>
  </si>
  <si>
    <t xml:space="preserve"> Logical Function – IF</t>
  </si>
  <si>
    <t>If Price ≥ $500 → classify as High Price</t>
  </si>
  <si>
    <t>If Price &lt; $500 → classify as Standard Price</t>
  </si>
  <si>
    <t>Price Range</t>
  </si>
  <si>
    <t>total price of products in the Electronics category.</t>
  </si>
  <si>
    <t xml:space="preserve"> (SUMIF function)</t>
  </si>
  <si>
    <t>number of products with a price less than $100.</t>
  </si>
  <si>
    <t>Text Formatting – LEFT, RIGHT, MID</t>
  </si>
  <si>
    <t>Country Code by extracting the last 2characters from the 'Product ID' column using the RIGHT function.</t>
  </si>
  <si>
    <t>named Day with the first 2 characters of each 'Product ID' using the LEFT function.</t>
  </si>
  <si>
    <t>named Month by extracting the 4th to 6th characters from the 'Product ID' column using the MID function.</t>
  </si>
  <si>
    <t>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</si>
</sst>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3"/>
      <name val="Arial"/>
      <family val="2"/>
      <scheme val="minor"/>
    </font>
    <font>
      <b/>
      <sz val="10"/>
      <name val="Arial"/>
      <family val="2"/>
      <scheme val="minor"/>
    </font>
    <font>
      <b/>
      <sz val="11"/>
      <name val="Calibri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rgb="FF4DD0E1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left" vertical="top"/>
    </xf>
    <xf numFmtId="164" fontId="1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5" fillId="6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2" fillId="2" borderId="8" xfId="0" applyFont="1" applyFill="1" applyBorder="1" applyAlignment="1">
      <alignment horizontal="left" vertical="top"/>
    </xf>
    <xf numFmtId="0" fontId="2" fillId="2" borderId="9" xfId="0" applyFont="1" applyFill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6" fillId="5" borderId="6" xfId="0" applyFont="1" applyFill="1" applyBorder="1" applyAlignment="1">
      <alignment horizontal="left" vertical="top"/>
    </xf>
    <xf numFmtId="0" fontId="7" fillId="7" borderId="5" xfId="0" applyFont="1" applyFill="1" applyBorder="1" applyAlignment="1">
      <alignment horizontal="left" vertical="top"/>
    </xf>
    <xf numFmtId="0" fontId="7" fillId="7" borderId="6" xfId="0" applyFont="1" applyFill="1" applyBorder="1" applyAlignment="1">
      <alignment horizontal="left" vertical="top"/>
    </xf>
    <xf numFmtId="0" fontId="8" fillId="5" borderId="6" xfId="0" applyFont="1" applyFill="1" applyBorder="1" applyAlignment="1">
      <alignment horizontal="left" vertical="top"/>
    </xf>
    <xf numFmtId="0" fontId="6" fillId="5" borderId="7" xfId="0" applyFont="1" applyFill="1" applyBorder="1" applyAlignment="1">
      <alignment horizontal="left" vertical="top"/>
    </xf>
    <xf numFmtId="0" fontId="6" fillId="5" borderId="0" xfId="0" applyFont="1" applyFill="1"/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0DBB1C-277E-4DBA-96E4-F464EC9885C7}" name="Table1" displayName="Table1" ref="A1:R35" totalsRowShown="0" headerRowDxfId="0" dataDxfId="1" headerRowBorderDxfId="20" tableBorderDxfId="21">
  <autoFilter ref="A1:R35" xr:uid="{D00DBB1C-277E-4DBA-96E4-F464EC9885C7}"/>
  <tableColumns count="18">
    <tableColumn id="1" xr3:uid="{759F162F-BCE6-4325-9B8A-E27050D3456C}" name="Product ID" dataDxfId="19"/>
    <tableColumn id="2" xr3:uid="{DAD9366A-7C6A-48FD-89BD-FDC8DA31ED89}" name="Product Name" dataDxfId="18"/>
    <tableColumn id="3" xr3:uid="{726086F3-1D46-41A7-A638-DACD7BF4E576}" name="Brand Name" dataDxfId="17"/>
    <tableColumn id="4" xr3:uid="{B642A342-6C92-41E1-891A-DD9DB57F8E99}" name="Price ($)" dataDxfId="16"/>
    <tableColumn id="5" xr3:uid="{73FB0BCA-3F46-442A-A266-2D345D12A059}" name="Quantity" dataDxfId="15"/>
    <tableColumn id="6" xr3:uid="{9A8ABBB2-BDA3-4760-B634-D93D8BFF27E7}" name="Category" dataDxfId="14"/>
    <tableColumn id="7" xr3:uid="{4FA6B669-585A-4CAE-8D70-ECEBF8EED497}" name="Total Price" dataDxfId="13"/>
    <tableColumn id="8" xr3:uid="{E8880590-A565-4354-9140-45FB97D10341}" name="Total products " dataDxfId="12"/>
    <tableColumn id="9" xr3:uid="{0065BDBA-911C-4DD8-8D29-A2D373CA8E1F}" name="Average Price" dataDxfId="11"/>
    <tableColumn id="10" xr3:uid="{96F27C5D-1B96-4246-8F71-A7F29BA2A49F}" name="Minimum Price" dataDxfId="10"/>
    <tableColumn id="11" xr3:uid="{8EBEDC14-8BA4-4452-B141-0B163CE90F6E}" name="Maximum Price" dataDxfId="9"/>
    <tableColumn id="12" xr3:uid="{D31CF0E9-8C71-4E04-9F77-7CBDAA031B5C}" name="Price Range." dataDxfId="8">
      <calculatedColumnFormula>IF(D2&gt;=500,"High Price","Standard Price")</calculatedColumnFormula>
    </tableColumn>
    <tableColumn id="13" xr3:uid="{E2BA7D3C-8455-47DC-8513-323D58DB946E}" name="Price Range" dataDxfId="7">
      <calculatedColumnFormula>IF(D2&lt;=500,"High Price","Standard Price")</calculatedColumnFormula>
    </tableColumn>
    <tableColumn id="14" xr3:uid="{F8106D56-447E-43D6-ABBA-F53EDCBC872B}" name="Electronics category. SUMIF" dataDxfId="6"/>
    <tableColumn id="15" xr3:uid="{AEFFD6FD-4B7A-4A6F-8B4F-F79E15390EC8}" name="COUNTIF function" dataDxfId="5"/>
    <tableColumn id="16" xr3:uid="{797F49B5-08B6-4EC4-B4DE-E77CC8BEA0BD}" name="Day Column" dataDxfId="4">
      <calculatedColumnFormula>LEFT(A2,2)</calculatedColumnFormula>
    </tableColumn>
    <tableColumn id="17" xr3:uid="{A22957A1-D267-49B6-B49E-AD985E1474F8}" name="Country Code" dataDxfId="3">
      <calculatedColumnFormula>RIGHT(A2,2)</calculatedColumnFormula>
    </tableColumn>
    <tableColumn id="18" xr3:uid="{76BD856C-E646-4176-B16B-F685167DE127}" name="Month" dataDxfId="2">
      <calculatedColumnFormula>MID(A2,4,3)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00"/>
  <sheetViews>
    <sheetView tabSelected="1" topLeftCell="D1" zoomScale="89" workbookViewId="0">
      <selection activeCell="G11" sqref="G10:H11"/>
    </sheetView>
  </sheetViews>
  <sheetFormatPr defaultColWidth="15.5703125" defaultRowHeight="15" customHeight="1" x14ac:dyDescent="0.2"/>
  <cols>
    <col min="2" max="2" width="16.140625" customWidth="1"/>
    <col min="6" max="6" width="30.42578125" customWidth="1"/>
    <col min="8" max="8" width="17" customWidth="1"/>
    <col min="10" max="10" width="16.28515625" customWidth="1"/>
    <col min="11" max="11" width="16.85546875" customWidth="1"/>
    <col min="14" max="14" width="27.42578125" customWidth="1"/>
    <col min="15" max="15" width="18.28515625" customWidth="1"/>
    <col min="19" max="19" width="15.5703125" customWidth="1"/>
    <col min="21" max="21" width="91.85546875" customWidth="1"/>
    <col min="22" max="22" width="21.85546875" customWidth="1"/>
  </cols>
  <sheetData>
    <row r="1" spans="1:22" s="33" customFormat="1" ht="15.75" customHeight="1" x14ac:dyDescent="0.2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1" t="s">
        <v>93</v>
      </c>
      <c r="H1" s="30" t="s">
        <v>103</v>
      </c>
      <c r="I1" s="28" t="s">
        <v>94</v>
      </c>
      <c r="J1" s="28" t="s">
        <v>95</v>
      </c>
      <c r="K1" s="28" t="s">
        <v>96</v>
      </c>
      <c r="L1" s="28" t="s">
        <v>97</v>
      </c>
      <c r="M1" s="28" t="s">
        <v>116</v>
      </c>
      <c r="N1" s="28" t="s">
        <v>98</v>
      </c>
      <c r="O1" s="28" t="s">
        <v>99</v>
      </c>
      <c r="P1" s="28" t="s">
        <v>100</v>
      </c>
      <c r="Q1" s="28" t="s">
        <v>101</v>
      </c>
      <c r="R1" s="32" t="s">
        <v>102</v>
      </c>
    </row>
    <row r="2" spans="1:22" ht="15.75" customHeight="1" x14ac:dyDescent="0.2">
      <c r="A2" s="19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3">
        <f>SUM(D2:D35)</f>
        <v>10100</v>
      </c>
      <c r="H2" s="4">
        <f>COUNTA(A2:A35)</f>
        <v>34</v>
      </c>
      <c r="I2" s="1">
        <f>AVERAGE(D2:D17)</f>
        <v>296.25</v>
      </c>
      <c r="J2" s="5">
        <f>MIN(D2:D35)</f>
        <v>30</v>
      </c>
      <c r="K2" s="5">
        <f>MAX(D2:D35)</f>
        <v>1000</v>
      </c>
      <c r="L2" s="6" t="str">
        <f>IF(D2&gt;=500,"High Price","Standard Price")</f>
        <v>High Price</v>
      </c>
      <c r="M2" s="6" t="str">
        <f>IF(D2&lt;=500,"High Price","Standard Price")</f>
        <v>Standard Price</v>
      </c>
      <c r="N2" s="7">
        <f>SUMIF(F2:F17,"Electronics",D2:D17)</f>
        <v>3950</v>
      </c>
      <c r="O2" s="6">
        <f>COUNTIF(D2:D17,"&lt;100")</f>
        <v>6</v>
      </c>
      <c r="P2" s="4" t="str">
        <f>LEFT(A2,2)</f>
        <v>28</v>
      </c>
      <c r="Q2" s="4" t="str">
        <f>RIGHT(A2,2)</f>
        <v>US</v>
      </c>
      <c r="R2" s="21" t="str">
        <f>MID(A2,4,3)</f>
        <v>JAN</v>
      </c>
    </row>
    <row r="3" spans="1:22" ht="15.75" customHeight="1" x14ac:dyDescent="0.2">
      <c r="A3" s="20" t="s">
        <v>10</v>
      </c>
      <c r="B3" s="8" t="s">
        <v>11</v>
      </c>
      <c r="C3" s="8" t="s">
        <v>12</v>
      </c>
      <c r="D3" s="8">
        <v>80</v>
      </c>
      <c r="E3" s="8">
        <v>15</v>
      </c>
      <c r="F3" s="8" t="s">
        <v>13</v>
      </c>
      <c r="G3" s="9"/>
      <c r="H3" s="4"/>
      <c r="I3" s="4"/>
      <c r="J3" s="4"/>
      <c r="K3" s="4"/>
      <c r="L3" s="6" t="str">
        <f>IF(D3&gt;=500,"High Price","Standard Price")</f>
        <v>Standard Price</v>
      </c>
      <c r="M3" s="6" t="str">
        <f t="shared" ref="M3:M35" si="0">IF(D3&lt;=500,"High Price","Standard Price")</f>
        <v>High Price</v>
      </c>
      <c r="N3" s="4"/>
      <c r="O3" s="4"/>
      <c r="P3" s="4" t="str">
        <f t="shared" ref="P3:P35" si="1">LEFT(A3,2)</f>
        <v>15</v>
      </c>
      <c r="Q3" s="4" t="str">
        <f t="shared" ref="Q3:Q35" si="2">RIGHT(A3,2)</f>
        <v>US</v>
      </c>
      <c r="R3" s="21" t="str">
        <f t="shared" ref="R3:R35" si="3">MID(A3,4,3)</f>
        <v>FEB</v>
      </c>
    </row>
    <row r="4" spans="1:22" ht="15.75" customHeight="1" x14ac:dyDescent="0.2">
      <c r="A4" s="19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9"/>
      <c r="H4" s="4"/>
      <c r="I4" s="4"/>
      <c r="J4" s="4"/>
      <c r="K4" s="4"/>
      <c r="L4" s="6" t="str">
        <f>IF(D4&gt;=500,"High Price","Standard Price")</f>
        <v>Standard Price</v>
      </c>
      <c r="M4" s="6" t="str">
        <f t="shared" si="0"/>
        <v>High Price</v>
      </c>
      <c r="N4" s="4"/>
      <c r="O4" s="4"/>
      <c r="P4" s="4" t="str">
        <f t="shared" si="1"/>
        <v>03</v>
      </c>
      <c r="Q4" s="4" t="str">
        <f t="shared" si="2"/>
        <v>US</v>
      </c>
      <c r="R4" s="21" t="str">
        <f t="shared" si="3"/>
        <v>MAR</v>
      </c>
    </row>
    <row r="5" spans="1:22" ht="15.75" customHeight="1" x14ac:dyDescent="0.2">
      <c r="A5" s="20" t="s">
        <v>18</v>
      </c>
      <c r="B5" s="8" t="s">
        <v>19</v>
      </c>
      <c r="C5" s="8" t="s">
        <v>20</v>
      </c>
      <c r="D5" s="8">
        <v>900</v>
      </c>
      <c r="E5" s="8">
        <v>25</v>
      </c>
      <c r="F5" s="8" t="s">
        <v>9</v>
      </c>
      <c r="G5" s="9"/>
      <c r="H5" s="4"/>
      <c r="I5" s="4"/>
      <c r="J5" s="4"/>
      <c r="K5" s="4"/>
      <c r="L5" s="6" t="str">
        <f t="shared" ref="L5:L35" si="4">IF(D5&gt;=500,"High Price","Standard Price")</f>
        <v>High Price</v>
      </c>
      <c r="M5" s="6" t="str">
        <f t="shared" si="0"/>
        <v>Standard Price</v>
      </c>
      <c r="N5" s="4"/>
      <c r="O5" s="4"/>
      <c r="P5" s="4" t="str">
        <f t="shared" si="1"/>
        <v>11</v>
      </c>
      <c r="Q5" s="4" t="str">
        <f t="shared" si="2"/>
        <v>US</v>
      </c>
      <c r="R5" s="21" t="str">
        <f t="shared" si="3"/>
        <v>APR</v>
      </c>
    </row>
    <row r="6" spans="1:22" ht="15.75" customHeight="1" x14ac:dyDescent="0.2">
      <c r="A6" s="19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9"/>
      <c r="H6" s="4"/>
      <c r="I6" s="4"/>
      <c r="J6" s="4"/>
      <c r="K6" s="4"/>
      <c r="L6" s="6" t="str">
        <f t="shared" si="4"/>
        <v>Standard Price</v>
      </c>
      <c r="M6" s="6" t="str">
        <f t="shared" si="0"/>
        <v>High Price</v>
      </c>
      <c r="N6" s="4"/>
      <c r="O6" s="4"/>
      <c r="P6" s="4" t="str">
        <f t="shared" si="1"/>
        <v>22</v>
      </c>
      <c r="Q6" s="4" t="str">
        <f t="shared" si="2"/>
        <v>US</v>
      </c>
      <c r="R6" s="21" t="str">
        <f t="shared" si="3"/>
        <v>MAY</v>
      </c>
      <c r="T6" s="11" t="s">
        <v>105</v>
      </c>
      <c r="U6" s="11" t="s">
        <v>106</v>
      </c>
      <c r="V6" s="12" t="s">
        <v>124</v>
      </c>
    </row>
    <row r="7" spans="1:22" ht="15.75" customHeight="1" x14ac:dyDescent="0.2">
      <c r="A7" s="20" t="s">
        <v>25</v>
      </c>
      <c r="B7" s="8" t="s">
        <v>26</v>
      </c>
      <c r="C7" s="8" t="s">
        <v>27</v>
      </c>
      <c r="D7" s="8">
        <v>200</v>
      </c>
      <c r="E7" s="8">
        <v>45</v>
      </c>
      <c r="F7" s="8" t="s">
        <v>9</v>
      </c>
      <c r="G7" s="9"/>
      <c r="H7" s="4"/>
      <c r="I7" s="4"/>
      <c r="J7" s="4"/>
      <c r="K7" s="4"/>
      <c r="L7" s="6" t="str">
        <f t="shared" si="4"/>
        <v>Standard Price</v>
      </c>
      <c r="M7" s="6" t="str">
        <f t="shared" si="0"/>
        <v>High Price</v>
      </c>
      <c r="N7" s="4"/>
      <c r="O7" s="4"/>
      <c r="P7" s="4" t="str">
        <f t="shared" si="1"/>
        <v>07</v>
      </c>
      <c r="Q7" s="4" t="str">
        <f t="shared" si="2"/>
        <v>UK</v>
      </c>
      <c r="R7" s="21" t="str">
        <f t="shared" si="3"/>
        <v>JUN</v>
      </c>
      <c r="T7" s="4"/>
      <c r="U7" s="13" t="s">
        <v>107</v>
      </c>
      <c r="V7" s="14"/>
    </row>
    <row r="8" spans="1:22" ht="15.75" customHeight="1" x14ac:dyDescent="0.2">
      <c r="A8" s="19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9"/>
      <c r="H8" s="4"/>
      <c r="I8" s="4"/>
      <c r="J8" s="4"/>
      <c r="K8" s="4"/>
      <c r="L8" s="6" t="str">
        <f t="shared" si="4"/>
        <v>Standard Price</v>
      </c>
      <c r="M8" s="6" t="str">
        <f t="shared" si="0"/>
        <v>High Price</v>
      </c>
      <c r="N8" s="4"/>
      <c r="O8" s="4"/>
      <c r="P8" s="4" t="str">
        <f t="shared" si="1"/>
        <v>19</v>
      </c>
      <c r="Q8" s="4" t="str">
        <f t="shared" si="2"/>
        <v>UK</v>
      </c>
      <c r="R8" s="21" t="str">
        <f t="shared" si="3"/>
        <v>JUL</v>
      </c>
      <c r="T8" s="4">
        <v>1</v>
      </c>
      <c r="U8" s="4" t="s">
        <v>108</v>
      </c>
      <c r="V8" s="3">
        <f>SUM(D2:D35)</f>
        <v>10100</v>
      </c>
    </row>
    <row r="9" spans="1:22" ht="15.75" customHeight="1" x14ac:dyDescent="0.2">
      <c r="A9" s="20" t="s">
        <v>31</v>
      </c>
      <c r="B9" s="8" t="s">
        <v>32</v>
      </c>
      <c r="C9" s="8" t="s">
        <v>33</v>
      </c>
      <c r="D9" s="8">
        <v>90</v>
      </c>
      <c r="E9" s="8">
        <v>35</v>
      </c>
      <c r="F9" s="8" t="s">
        <v>17</v>
      </c>
      <c r="G9" s="9"/>
      <c r="H9" s="4"/>
      <c r="I9" s="4"/>
      <c r="J9" s="4"/>
      <c r="K9" s="4"/>
      <c r="L9" s="6" t="str">
        <f t="shared" si="4"/>
        <v>Standard Price</v>
      </c>
      <c r="M9" s="6" t="str">
        <f t="shared" si="0"/>
        <v>High Price</v>
      </c>
      <c r="N9" s="4"/>
      <c r="O9" s="4"/>
      <c r="P9" s="4" t="str">
        <f t="shared" si="1"/>
        <v>23</v>
      </c>
      <c r="Q9" s="4" t="str">
        <f t="shared" si="2"/>
        <v>UK</v>
      </c>
      <c r="R9" s="21" t="str">
        <f t="shared" si="3"/>
        <v>AUG</v>
      </c>
      <c r="T9" s="4">
        <v>2</v>
      </c>
      <c r="U9" s="4" t="s">
        <v>104</v>
      </c>
      <c r="V9" s="4">
        <f>COUNTA(A2:A35)</f>
        <v>34</v>
      </c>
    </row>
    <row r="10" spans="1:22" ht="15.75" customHeight="1" x14ac:dyDescent="0.2">
      <c r="A10" s="19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9"/>
      <c r="H10" s="4"/>
      <c r="I10" s="4"/>
      <c r="J10" s="4"/>
      <c r="K10" s="4"/>
      <c r="L10" s="6" t="str">
        <f t="shared" si="4"/>
        <v>High Price</v>
      </c>
      <c r="M10" s="6" t="str">
        <f t="shared" si="0"/>
        <v>High Price</v>
      </c>
      <c r="N10" s="4"/>
      <c r="O10" s="4"/>
      <c r="P10" s="4" t="str">
        <f t="shared" si="1"/>
        <v>05</v>
      </c>
      <c r="Q10" s="4" t="str">
        <f t="shared" si="2"/>
        <v>UK</v>
      </c>
      <c r="R10" s="21" t="str">
        <f t="shared" si="3"/>
        <v>SEP</v>
      </c>
      <c r="T10" s="4">
        <v>3</v>
      </c>
      <c r="U10" s="4" t="s">
        <v>109</v>
      </c>
      <c r="V10" s="6">
        <f>AVERAGE(D2:D17)</f>
        <v>296.25</v>
      </c>
    </row>
    <row r="11" spans="1:22" ht="15.75" customHeight="1" x14ac:dyDescent="0.2">
      <c r="A11" s="20" t="s">
        <v>37</v>
      </c>
      <c r="B11" s="8" t="s">
        <v>38</v>
      </c>
      <c r="C11" s="8" t="s">
        <v>39</v>
      </c>
      <c r="D11" s="8">
        <v>130</v>
      </c>
      <c r="E11" s="8">
        <v>10</v>
      </c>
      <c r="F11" s="8" t="s">
        <v>24</v>
      </c>
      <c r="G11" s="9"/>
      <c r="H11" s="4"/>
      <c r="I11" s="4"/>
      <c r="J11" s="4"/>
      <c r="K11" s="4"/>
      <c r="L11" s="6" t="str">
        <f t="shared" si="4"/>
        <v>Standard Price</v>
      </c>
      <c r="M11" s="6" t="str">
        <f t="shared" si="0"/>
        <v>High Price</v>
      </c>
      <c r="N11" s="4"/>
      <c r="O11" s="4"/>
      <c r="P11" s="4" t="str">
        <f t="shared" si="1"/>
        <v>14</v>
      </c>
      <c r="Q11" s="4" t="str">
        <f t="shared" si="2"/>
        <v>UK</v>
      </c>
      <c r="R11" s="21" t="str">
        <f t="shared" si="3"/>
        <v>OCT</v>
      </c>
    </row>
    <row r="12" spans="1:22" ht="15.75" customHeight="1" x14ac:dyDescent="0.2">
      <c r="A12" s="19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9"/>
      <c r="H12" s="4"/>
      <c r="I12" s="4"/>
      <c r="J12" s="4"/>
      <c r="K12" s="4"/>
      <c r="L12" s="6" t="str">
        <f t="shared" si="4"/>
        <v>High Price</v>
      </c>
      <c r="M12" s="6" t="str">
        <f t="shared" si="0"/>
        <v>Standard Price</v>
      </c>
      <c r="N12" s="4"/>
      <c r="O12" s="4"/>
      <c r="P12" s="4" t="str">
        <f t="shared" si="1"/>
        <v>17</v>
      </c>
      <c r="Q12" s="4" t="str">
        <f t="shared" si="2"/>
        <v>IN</v>
      </c>
      <c r="R12" s="21" t="str">
        <f t="shared" si="3"/>
        <v>JUN</v>
      </c>
    </row>
    <row r="13" spans="1:22" ht="15.75" customHeight="1" x14ac:dyDescent="0.2">
      <c r="A13" s="20" t="s">
        <v>42</v>
      </c>
      <c r="B13" s="8" t="s">
        <v>11</v>
      </c>
      <c r="C13" s="8" t="s">
        <v>30</v>
      </c>
      <c r="D13" s="8">
        <v>90</v>
      </c>
      <c r="E13" s="8">
        <v>40</v>
      </c>
      <c r="F13" s="8" t="s">
        <v>13</v>
      </c>
      <c r="G13" s="9"/>
      <c r="H13" s="4"/>
      <c r="I13" s="4"/>
      <c r="J13" s="4"/>
      <c r="K13" s="4"/>
      <c r="L13" s="6" t="str">
        <f t="shared" si="4"/>
        <v>Standard Price</v>
      </c>
      <c r="M13" s="6" t="str">
        <f t="shared" si="0"/>
        <v>High Price</v>
      </c>
      <c r="N13" s="4"/>
      <c r="O13" s="4"/>
      <c r="P13" s="4" t="str">
        <f t="shared" si="1"/>
        <v>25</v>
      </c>
      <c r="Q13" s="4" t="str">
        <f t="shared" si="2"/>
        <v>AU</v>
      </c>
      <c r="R13" s="21" t="str">
        <f t="shared" si="3"/>
        <v>NOV</v>
      </c>
      <c r="T13" s="4"/>
      <c r="U13" s="15" t="s">
        <v>111</v>
      </c>
      <c r="V13" s="4"/>
    </row>
    <row r="14" spans="1:22" ht="15.75" customHeight="1" x14ac:dyDescent="0.2">
      <c r="A14" s="19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9"/>
      <c r="H14" s="4"/>
      <c r="I14" s="4"/>
      <c r="J14" s="4"/>
      <c r="K14" s="4"/>
      <c r="L14" s="6" t="str">
        <f t="shared" si="4"/>
        <v>Standard Price</v>
      </c>
      <c r="M14" s="6" t="str">
        <f t="shared" si="0"/>
        <v>High Price</v>
      </c>
      <c r="N14" s="4"/>
      <c r="O14" s="4"/>
      <c r="P14" s="4" t="str">
        <f t="shared" si="1"/>
        <v>08</v>
      </c>
      <c r="Q14" s="4" t="str">
        <f t="shared" si="2"/>
        <v>DE</v>
      </c>
      <c r="R14" s="21" t="str">
        <f t="shared" si="3"/>
        <v>DEC</v>
      </c>
      <c r="T14" s="4">
        <v>1</v>
      </c>
      <c r="U14" s="6" t="s">
        <v>110</v>
      </c>
      <c r="V14" s="5">
        <f>MIN(D2:D35)</f>
        <v>30</v>
      </c>
    </row>
    <row r="15" spans="1:22" ht="15.75" customHeight="1" x14ac:dyDescent="0.2">
      <c r="A15" s="20" t="s">
        <v>45</v>
      </c>
      <c r="B15" s="8" t="s">
        <v>46</v>
      </c>
      <c r="C15" s="8" t="s">
        <v>47</v>
      </c>
      <c r="D15" s="8">
        <v>150</v>
      </c>
      <c r="E15" s="8">
        <v>15</v>
      </c>
      <c r="F15" s="8" t="s">
        <v>9</v>
      </c>
      <c r="G15" s="9"/>
      <c r="H15" s="4"/>
      <c r="I15" s="4"/>
      <c r="J15" s="4"/>
      <c r="K15" s="4"/>
      <c r="L15" s="6" t="str">
        <f t="shared" si="4"/>
        <v>Standard Price</v>
      </c>
      <c r="M15" s="6" t="str">
        <f t="shared" si="0"/>
        <v>High Price</v>
      </c>
      <c r="N15" s="4"/>
      <c r="O15" s="4"/>
      <c r="P15" s="4" t="str">
        <f t="shared" si="1"/>
        <v>18</v>
      </c>
      <c r="Q15" s="4" t="str">
        <f t="shared" si="2"/>
        <v>CA</v>
      </c>
      <c r="R15" s="21" t="str">
        <f t="shared" si="3"/>
        <v>FEB</v>
      </c>
      <c r="T15" s="4">
        <v>2</v>
      </c>
      <c r="U15" s="6" t="s">
        <v>112</v>
      </c>
      <c r="V15" s="4">
        <f>MAX(D2:D35)</f>
        <v>1000</v>
      </c>
    </row>
    <row r="16" spans="1:22" ht="15.75" customHeight="1" x14ac:dyDescent="0.2">
      <c r="A16" s="19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9"/>
      <c r="H16" s="4"/>
      <c r="I16" s="4"/>
      <c r="J16" s="4"/>
      <c r="K16" s="4"/>
      <c r="L16" s="6" t="str">
        <f t="shared" si="4"/>
        <v>Standard Price</v>
      </c>
      <c r="M16" s="6" t="str">
        <f t="shared" si="0"/>
        <v>High Price</v>
      </c>
      <c r="N16" s="4"/>
      <c r="O16" s="4"/>
      <c r="P16" s="4" t="str">
        <f t="shared" si="1"/>
        <v>16</v>
      </c>
      <c r="Q16" s="4" t="str">
        <f t="shared" si="2"/>
        <v>ES</v>
      </c>
      <c r="R16" s="21" t="str">
        <f t="shared" si="3"/>
        <v>APR</v>
      </c>
    </row>
    <row r="17" spans="1:22" ht="15.75" customHeight="1" x14ac:dyDescent="0.2">
      <c r="A17" s="20" t="s">
        <v>50</v>
      </c>
      <c r="B17" s="8" t="s">
        <v>51</v>
      </c>
      <c r="C17" s="8" t="s">
        <v>52</v>
      </c>
      <c r="D17" s="8">
        <v>50</v>
      </c>
      <c r="E17" s="8">
        <v>35</v>
      </c>
      <c r="F17" s="8" t="s">
        <v>53</v>
      </c>
      <c r="G17" s="9"/>
      <c r="H17" s="4"/>
      <c r="I17" s="4"/>
      <c r="J17" s="4"/>
      <c r="K17" s="4"/>
      <c r="L17" s="6" t="str">
        <f t="shared" si="4"/>
        <v>Standard Price</v>
      </c>
      <c r="M17" s="6" t="str">
        <f t="shared" si="0"/>
        <v>High Price</v>
      </c>
      <c r="N17" s="4"/>
      <c r="O17" s="4"/>
      <c r="P17" s="4" t="str">
        <f t="shared" si="1"/>
        <v>21</v>
      </c>
      <c r="Q17" s="4" t="str">
        <f t="shared" si="2"/>
        <v>CA</v>
      </c>
      <c r="R17" s="21" t="str">
        <f t="shared" si="3"/>
        <v>AUG</v>
      </c>
      <c r="T17" s="6"/>
      <c r="U17" s="15" t="s">
        <v>113</v>
      </c>
      <c r="V17" s="4"/>
    </row>
    <row r="18" spans="1:22" ht="15.75" customHeight="1" x14ac:dyDescent="0.2">
      <c r="A18" s="19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9"/>
      <c r="H18" s="4"/>
      <c r="I18" s="4"/>
      <c r="J18" s="4"/>
      <c r="K18" s="4"/>
      <c r="L18" s="6" t="str">
        <f>IF(D18&gt;=500,"High Price","Standard Price")</f>
        <v>Standard Price</v>
      </c>
      <c r="M18" s="6" t="str">
        <f t="shared" si="0"/>
        <v>High Price</v>
      </c>
      <c r="N18" s="4"/>
      <c r="O18" s="4"/>
      <c r="P18" s="4" t="str">
        <f t="shared" si="1"/>
        <v>20</v>
      </c>
      <c r="Q18" s="4" t="str">
        <f t="shared" si="2"/>
        <v>CN</v>
      </c>
      <c r="R18" s="21" t="str">
        <f t="shared" si="3"/>
        <v>AUG</v>
      </c>
      <c r="T18" s="4">
        <v>1</v>
      </c>
      <c r="U18" s="6" t="s">
        <v>114</v>
      </c>
      <c r="V18" s="6" t="str">
        <f>IF(D2&gt;=500,"High Price","Standard Price")</f>
        <v>High Price</v>
      </c>
    </row>
    <row r="19" spans="1:22" ht="15.75" customHeight="1" x14ac:dyDescent="0.2">
      <c r="A19" s="20" t="s">
        <v>56</v>
      </c>
      <c r="B19" s="8" t="s">
        <v>7</v>
      </c>
      <c r="C19" s="8" t="s">
        <v>57</v>
      </c>
      <c r="D19" s="8">
        <v>980</v>
      </c>
      <c r="E19" s="8">
        <v>10</v>
      </c>
      <c r="F19" s="8" t="s">
        <v>9</v>
      </c>
      <c r="G19" s="9"/>
      <c r="H19" s="4"/>
      <c r="I19" s="4"/>
      <c r="J19" s="4"/>
      <c r="K19" s="4"/>
      <c r="L19" s="6" t="str">
        <f t="shared" si="4"/>
        <v>High Price</v>
      </c>
      <c r="M19" s="6" t="str">
        <f t="shared" si="0"/>
        <v>Standard Price</v>
      </c>
      <c r="N19" s="4"/>
      <c r="O19" s="4"/>
      <c r="P19" s="4" t="str">
        <f t="shared" si="1"/>
        <v>27</v>
      </c>
      <c r="Q19" s="4" t="str">
        <f t="shared" si="2"/>
        <v>IT</v>
      </c>
      <c r="R19" s="21" t="str">
        <f t="shared" si="3"/>
        <v>JAN</v>
      </c>
      <c r="T19" s="4"/>
      <c r="U19" s="4"/>
      <c r="V19" s="4"/>
    </row>
    <row r="20" spans="1:22" ht="15.75" customHeight="1" x14ac:dyDescent="0.2">
      <c r="A20" s="19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9"/>
      <c r="H20" s="4"/>
      <c r="I20" s="4"/>
      <c r="J20" s="4"/>
      <c r="K20" s="4"/>
      <c r="L20" s="6" t="str">
        <f t="shared" si="4"/>
        <v>Standard Price</v>
      </c>
      <c r="M20" s="6" t="str">
        <f t="shared" si="0"/>
        <v>High Price</v>
      </c>
      <c r="N20" s="4"/>
      <c r="O20" s="4"/>
      <c r="P20" s="4" t="str">
        <f t="shared" si="1"/>
        <v>01</v>
      </c>
      <c r="Q20" s="4" t="str">
        <f t="shared" si="2"/>
        <v>UK</v>
      </c>
      <c r="R20" s="21" t="str">
        <f t="shared" si="3"/>
        <v>MAR</v>
      </c>
      <c r="T20" s="4">
        <v>2</v>
      </c>
      <c r="U20" s="6" t="s">
        <v>115</v>
      </c>
      <c r="V20" s="4" t="str">
        <f>IF(D3&lt;=500,"High Price","Standard Price")</f>
        <v>High Price</v>
      </c>
    </row>
    <row r="21" spans="1:22" ht="15.75" customHeight="1" x14ac:dyDescent="0.2">
      <c r="A21" s="20" t="s">
        <v>61</v>
      </c>
      <c r="B21" s="8" t="s">
        <v>62</v>
      </c>
      <c r="C21" s="8" t="s">
        <v>63</v>
      </c>
      <c r="D21" s="8">
        <v>200</v>
      </c>
      <c r="E21" s="8">
        <v>10</v>
      </c>
      <c r="F21" s="8" t="s">
        <v>24</v>
      </c>
      <c r="G21" s="9"/>
      <c r="H21" s="4"/>
      <c r="I21" s="4"/>
      <c r="J21" s="4"/>
      <c r="K21" s="4"/>
      <c r="L21" s="6" t="str">
        <f t="shared" si="4"/>
        <v>Standard Price</v>
      </c>
      <c r="M21" s="6" t="str">
        <f t="shared" si="0"/>
        <v>High Price</v>
      </c>
      <c r="N21" s="4"/>
      <c r="O21" s="4"/>
      <c r="P21" s="4" t="str">
        <f t="shared" si="1"/>
        <v>14</v>
      </c>
      <c r="Q21" s="4" t="str">
        <f t="shared" si="2"/>
        <v>US</v>
      </c>
      <c r="R21" s="21" t="str">
        <f t="shared" si="3"/>
        <v>AUG</v>
      </c>
    </row>
    <row r="22" spans="1:22" ht="15.75" customHeight="1" x14ac:dyDescent="0.2">
      <c r="A22" s="19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9"/>
      <c r="H22" s="4"/>
      <c r="I22" s="4"/>
      <c r="J22" s="4"/>
      <c r="K22" s="4"/>
      <c r="L22" s="6" t="str">
        <f t="shared" si="4"/>
        <v>High Price</v>
      </c>
      <c r="M22" s="6" t="str">
        <f t="shared" si="0"/>
        <v>Standard Price</v>
      </c>
      <c r="N22" s="4"/>
      <c r="O22" s="4"/>
      <c r="P22" s="4" t="str">
        <f t="shared" si="1"/>
        <v>14</v>
      </c>
      <c r="Q22" s="4" t="str">
        <f t="shared" si="2"/>
        <v>RU</v>
      </c>
      <c r="R22" s="21" t="str">
        <f t="shared" si="3"/>
        <v>MAY</v>
      </c>
      <c r="T22" s="4"/>
      <c r="U22" s="15" t="s">
        <v>118</v>
      </c>
      <c r="V22" s="4"/>
    </row>
    <row r="23" spans="1:22" ht="15.75" customHeight="1" x14ac:dyDescent="0.2">
      <c r="A23" s="20" t="s">
        <v>67</v>
      </c>
      <c r="B23" s="8" t="s">
        <v>68</v>
      </c>
      <c r="C23" s="8" t="s">
        <v>69</v>
      </c>
      <c r="D23" s="8">
        <v>80</v>
      </c>
      <c r="E23" s="8">
        <v>20</v>
      </c>
      <c r="F23" s="8" t="s">
        <v>17</v>
      </c>
      <c r="G23" s="9"/>
      <c r="H23" s="4"/>
      <c r="I23" s="4"/>
      <c r="J23" s="4"/>
      <c r="K23" s="4"/>
      <c r="L23" s="6" t="str">
        <f t="shared" si="4"/>
        <v>Standard Price</v>
      </c>
      <c r="M23" s="6" t="str">
        <f t="shared" si="0"/>
        <v>High Price</v>
      </c>
      <c r="N23" s="4"/>
      <c r="O23" s="4"/>
      <c r="P23" s="4" t="str">
        <f t="shared" si="1"/>
        <v>09</v>
      </c>
      <c r="Q23" s="4" t="str">
        <f t="shared" si="2"/>
        <v>CA</v>
      </c>
      <c r="R23" s="21" t="str">
        <f t="shared" si="3"/>
        <v>JAN</v>
      </c>
      <c r="T23" s="4">
        <v>1</v>
      </c>
      <c r="U23" s="6" t="s">
        <v>117</v>
      </c>
      <c r="V23" s="5">
        <f>SUMIF(F2:F17,"Electronics",D2:D17)</f>
        <v>3950</v>
      </c>
    </row>
    <row r="24" spans="1:22" ht="15.75" customHeight="1" x14ac:dyDescent="0.2">
      <c r="A24" s="19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9"/>
      <c r="H24" s="4"/>
      <c r="I24" s="4"/>
      <c r="J24" s="4"/>
      <c r="K24" s="4"/>
      <c r="L24" s="6" t="str">
        <f t="shared" si="4"/>
        <v>Standard Price</v>
      </c>
      <c r="M24" s="6" t="str">
        <f t="shared" si="0"/>
        <v>High Price</v>
      </c>
      <c r="N24" s="4"/>
      <c r="O24" s="4"/>
      <c r="P24" s="4" t="str">
        <f t="shared" si="1"/>
        <v>19</v>
      </c>
      <c r="Q24" s="4" t="str">
        <f t="shared" si="2"/>
        <v>BR</v>
      </c>
      <c r="R24" s="21" t="str">
        <f t="shared" si="3"/>
        <v>JUL</v>
      </c>
      <c r="T24" s="4"/>
      <c r="U24" s="4"/>
      <c r="V24" s="4"/>
    </row>
    <row r="25" spans="1:22" ht="15.75" customHeight="1" x14ac:dyDescent="0.2">
      <c r="A25" s="20" t="s">
        <v>50</v>
      </c>
      <c r="B25" s="8" t="s">
        <v>51</v>
      </c>
      <c r="C25" s="8" t="s">
        <v>52</v>
      </c>
      <c r="D25" s="8">
        <v>50</v>
      </c>
      <c r="E25" s="8">
        <v>35</v>
      </c>
      <c r="F25" s="8" t="s">
        <v>53</v>
      </c>
      <c r="G25" s="10"/>
      <c r="H25" s="4"/>
      <c r="I25" s="4"/>
      <c r="J25" s="4"/>
      <c r="K25" s="4"/>
      <c r="L25" s="6" t="str">
        <f t="shared" si="4"/>
        <v>Standard Price</v>
      </c>
      <c r="M25" s="6" t="str">
        <f t="shared" si="0"/>
        <v>High Price</v>
      </c>
      <c r="N25" s="4"/>
      <c r="O25" s="4"/>
      <c r="P25" s="4" t="str">
        <f t="shared" si="1"/>
        <v>21</v>
      </c>
      <c r="Q25" s="4" t="str">
        <f t="shared" si="2"/>
        <v>CA</v>
      </c>
      <c r="R25" s="21" t="str">
        <f t="shared" si="3"/>
        <v>AUG</v>
      </c>
      <c r="T25" s="4"/>
      <c r="U25" s="15" t="s">
        <v>99</v>
      </c>
      <c r="V25" s="4"/>
    </row>
    <row r="26" spans="1:22" ht="15.75" customHeight="1" x14ac:dyDescent="0.2">
      <c r="A26" s="19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9"/>
      <c r="H26" s="4"/>
      <c r="I26" s="4"/>
      <c r="J26" s="4"/>
      <c r="K26" s="4"/>
      <c r="L26" s="6" t="str">
        <f t="shared" si="4"/>
        <v>High Price</v>
      </c>
      <c r="M26" s="6" t="str">
        <f t="shared" si="0"/>
        <v>Standard Price</v>
      </c>
      <c r="N26" s="4"/>
      <c r="O26" s="4"/>
      <c r="P26" s="4" t="str">
        <f t="shared" si="1"/>
        <v>29</v>
      </c>
      <c r="Q26" s="4" t="str">
        <f t="shared" si="2"/>
        <v>CA</v>
      </c>
      <c r="R26" s="21" t="str">
        <f t="shared" si="3"/>
        <v>SEP</v>
      </c>
      <c r="T26" s="4">
        <v>2</v>
      </c>
      <c r="U26" s="6" t="s">
        <v>119</v>
      </c>
      <c r="V26" s="6">
        <f>COUNTIF(D2:D17,"&lt;100")</f>
        <v>6</v>
      </c>
    </row>
    <row r="27" spans="1:22" ht="15.75" customHeight="1" x14ac:dyDescent="0.2">
      <c r="A27" s="20" t="s">
        <v>75</v>
      </c>
      <c r="B27" s="8" t="s">
        <v>59</v>
      </c>
      <c r="C27" s="8" t="s">
        <v>76</v>
      </c>
      <c r="D27" s="8">
        <v>130</v>
      </c>
      <c r="E27" s="8">
        <v>25</v>
      </c>
      <c r="F27" s="8" t="s">
        <v>13</v>
      </c>
      <c r="G27" s="9"/>
      <c r="H27" s="4"/>
      <c r="I27" s="4"/>
      <c r="J27" s="4"/>
      <c r="K27" s="4"/>
      <c r="L27" s="6" t="str">
        <f>IF(D27&gt;=500,"High Price","Standard Price")</f>
        <v>Standard Price</v>
      </c>
      <c r="M27" s="6" t="str">
        <f t="shared" si="0"/>
        <v>High Price</v>
      </c>
      <c r="N27" s="4"/>
      <c r="O27" s="4"/>
      <c r="P27" s="4" t="str">
        <f t="shared" si="1"/>
        <v>03</v>
      </c>
      <c r="Q27" s="4" t="str">
        <f t="shared" si="2"/>
        <v>CA</v>
      </c>
      <c r="R27" s="21" t="str">
        <f t="shared" si="3"/>
        <v>JUN</v>
      </c>
    </row>
    <row r="28" spans="1:22" ht="15.75" customHeight="1" x14ac:dyDescent="0.2">
      <c r="A28" s="19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9"/>
      <c r="H28" s="4"/>
      <c r="I28" s="4"/>
      <c r="J28" s="4"/>
      <c r="K28" s="4"/>
      <c r="L28" s="6" t="str">
        <f t="shared" si="4"/>
        <v>Standard Price</v>
      </c>
      <c r="M28" s="6" t="str">
        <f t="shared" si="0"/>
        <v>High Price</v>
      </c>
      <c r="N28" s="4"/>
      <c r="O28" s="4"/>
      <c r="P28" s="4" t="str">
        <f t="shared" si="1"/>
        <v>11</v>
      </c>
      <c r="Q28" s="4" t="str">
        <f t="shared" si="2"/>
        <v>CA</v>
      </c>
      <c r="R28" s="21" t="str">
        <f t="shared" si="3"/>
        <v>JUL</v>
      </c>
    </row>
    <row r="29" spans="1:22" ht="15.75" customHeight="1" x14ac:dyDescent="0.2">
      <c r="A29" s="20" t="s">
        <v>48</v>
      </c>
      <c r="B29" s="8" t="s">
        <v>26</v>
      </c>
      <c r="C29" s="8" t="s">
        <v>49</v>
      </c>
      <c r="D29" s="8">
        <v>230</v>
      </c>
      <c r="E29" s="8">
        <v>20</v>
      </c>
      <c r="F29" s="8" t="s">
        <v>9</v>
      </c>
      <c r="G29" s="10"/>
      <c r="H29" s="4"/>
      <c r="I29" s="4"/>
      <c r="J29" s="4"/>
      <c r="K29" s="4"/>
      <c r="L29" s="6" t="str">
        <f t="shared" si="4"/>
        <v>Standard Price</v>
      </c>
      <c r="M29" s="6" t="str">
        <f t="shared" si="0"/>
        <v>High Price</v>
      </c>
      <c r="N29" s="4"/>
      <c r="O29" s="4"/>
      <c r="P29" s="4" t="str">
        <f t="shared" si="1"/>
        <v>16</v>
      </c>
      <c r="Q29" s="4" t="str">
        <f t="shared" si="2"/>
        <v>ES</v>
      </c>
      <c r="R29" s="21" t="str">
        <f t="shared" si="3"/>
        <v>APR</v>
      </c>
      <c r="T29" s="4"/>
      <c r="U29" s="15" t="s">
        <v>120</v>
      </c>
      <c r="V29" s="4"/>
    </row>
    <row r="30" spans="1:22" ht="15.75" customHeight="1" x14ac:dyDescent="0.2">
      <c r="A30" s="19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9"/>
      <c r="H30" s="4"/>
      <c r="I30" s="4"/>
      <c r="J30" s="4"/>
      <c r="K30" s="4"/>
      <c r="L30" s="6" t="str">
        <f t="shared" si="4"/>
        <v>Standard Price</v>
      </c>
      <c r="M30" s="6" t="str">
        <f t="shared" si="0"/>
        <v>High Price</v>
      </c>
      <c r="N30" s="4"/>
      <c r="O30" s="4"/>
      <c r="P30" s="4" t="str">
        <f t="shared" si="1"/>
        <v>07</v>
      </c>
      <c r="Q30" s="4" t="str">
        <f t="shared" si="2"/>
        <v>CA</v>
      </c>
      <c r="R30" s="21" t="str">
        <f t="shared" si="3"/>
        <v>MAR</v>
      </c>
      <c r="T30" s="4">
        <v>1</v>
      </c>
      <c r="U30" s="17" t="s">
        <v>121</v>
      </c>
      <c r="V30" s="4" t="str">
        <f>RIGHT(A2,2)</f>
        <v>US</v>
      </c>
    </row>
    <row r="31" spans="1:22" ht="15.75" customHeight="1" x14ac:dyDescent="0.2">
      <c r="A31" s="20" t="s">
        <v>82</v>
      </c>
      <c r="B31" s="8" t="s">
        <v>83</v>
      </c>
      <c r="C31" s="8" t="s">
        <v>84</v>
      </c>
      <c r="D31" s="8">
        <v>40</v>
      </c>
      <c r="E31" s="8">
        <v>10</v>
      </c>
      <c r="F31" s="8" t="s">
        <v>17</v>
      </c>
      <c r="G31" s="9"/>
      <c r="H31" s="4"/>
      <c r="I31" s="4"/>
      <c r="J31" s="4"/>
      <c r="K31" s="4"/>
      <c r="L31" s="6" t="str">
        <f t="shared" si="4"/>
        <v>Standard Price</v>
      </c>
      <c r="M31" s="6" t="str">
        <f t="shared" si="0"/>
        <v>High Price</v>
      </c>
      <c r="N31" s="4"/>
      <c r="O31" s="4"/>
      <c r="P31" s="4" t="str">
        <f t="shared" si="1"/>
        <v>13</v>
      </c>
      <c r="Q31" s="4" t="str">
        <f t="shared" si="2"/>
        <v>CA</v>
      </c>
      <c r="R31" s="21" t="str">
        <f t="shared" si="3"/>
        <v>APR</v>
      </c>
      <c r="T31" s="4"/>
      <c r="U31" s="4"/>
      <c r="V31" s="4"/>
    </row>
    <row r="32" spans="1:22" ht="15.75" customHeight="1" x14ac:dyDescent="0.2">
      <c r="A32" s="19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9"/>
      <c r="H32" s="4"/>
      <c r="I32" s="4"/>
      <c r="J32" s="4"/>
      <c r="K32" s="4"/>
      <c r="L32" s="6" t="str">
        <f t="shared" si="4"/>
        <v>Standard Price</v>
      </c>
      <c r="M32" s="6" t="str">
        <f t="shared" si="0"/>
        <v>High Price</v>
      </c>
      <c r="N32" s="4"/>
      <c r="O32" s="4"/>
      <c r="P32" s="4" t="str">
        <f t="shared" si="1"/>
        <v>24</v>
      </c>
      <c r="Q32" s="4" t="str">
        <f t="shared" si="2"/>
        <v>CA</v>
      </c>
      <c r="R32" s="21" t="str">
        <f t="shared" si="3"/>
        <v>MAY</v>
      </c>
      <c r="T32" s="4">
        <v>2</v>
      </c>
      <c r="U32" s="17" t="s">
        <v>122</v>
      </c>
      <c r="V32" s="4" t="str">
        <f>LEFT(A2,2)</f>
        <v>28</v>
      </c>
    </row>
    <row r="33" spans="1:22" ht="15.75" customHeight="1" x14ac:dyDescent="0.2">
      <c r="A33" s="20" t="s">
        <v>87</v>
      </c>
      <c r="B33" s="8" t="s">
        <v>88</v>
      </c>
      <c r="C33" s="8" t="s">
        <v>89</v>
      </c>
      <c r="D33" s="8">
        <v>50</v>
      </c>
      <c r="E33" s="8">
        <v>50</v>
      </c>
      <c r="F33" s="8" t="s">
        <v>13</v>
      </c>
      <c r="G33" s="9"/>
      <c r="H33" s="4"/>
      <c r="I33" s="4"/>
      <c r="J33" s="4"/>
      <c r="K33" s="4"/>
      <c r="L33" s="6" t="str">
        <f t="shared" si="4"/>
        <v>Standard Price</v>
      </c>
      <c r="M33" s="6" t="str">
        <f t="shared" si="0"/>
        <v>High Price</v>
      </c>
      <c r="N33" s="4"/>
      <c r="O33" s="4"/>
      <c r="P33" s="4" t="str">
        <f t="shared" si="1"/>
        <v>02</v>
      </c>
      <c r="Q33" s="4" t="str">
        <f t="shared" si="2"/>
        <v>CA</v>
      </c>
      <c r="R33" s="21" t="str">
        <f t="shared" si="3"/>
        <v>DEC</v>
      </c>
      <c r="T33" s="4"/>
      <c r="U33" s="4"/>
      <c r="V33" s="4"/>
    </row>
    <row r="34" spans="1:22" ht="15.75" customHeight="1" thickBot="1" x14ac:dyDescent="0.25">
      <c r="A34" s="19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9"/>
      <c r="H34" s="4"/>
      <c r="I34" s="4"/>
      <c r="J34" s="4"/>
      <c r="K34" s="4"/>
      <c r="L34" s="6" t="str">
        <f t="shared" si="4"/>
        <v>High Price</v>
      </c>
      <c r="M34" s="6" t="str">
        <f t="shared" si="0"/>
        <v>Standard Price</v>
      </c>
      <c r="N34" s="4"/>
      <c r="O34" s="4"/>
      <c r="P34" s="4" t="str">
        <f t="shared" si="1"/>
        <v>17</v>
      </c>
      <c r="Q34" s="4" t="str">
        <f t="shared" si="2"/>
        <v>IN</v>
      </c>
      <c r="R34" s="21" t="str">
        <f t="shared" si="3"/>
        <v>JUN</v>
      </c>
      <c r="T34" s="16">
        <v>2</v>
      </c>
      <c r="U34" s="18" t="s">
        <v>123</v>
      </c>
      <c r="V34" s="16" t="str">
        <f>MID(A2,4,3)</f>
        <v>JAN</v>
      </c>
    </row>
    <row r="35" spans="1:22" ht="15.75" customHeight="1" x14ac:dyDescent="0.2">
      <c r="A35" s="22" t="s">
        <v>90</v>
      </c>
      <c r="B35" s="23" t="s">
        <v>91</v>
      </c>
      <c r="C35" s="23" t="s">
        <v>92</v>
      </c>
      <c r="D35" s="23">
        <v>100</v>
      </c>
      <c r="E35" s="23">
        <v>20</v>
      </c>
      <c r="F35" s="23" t="s">
        <v>53</v>
      </c>
      <c r="G35" s="24"/>
      <c r="H35" s="25"/>
      <c r="I35" s="25"/>
      <c r="J35" s="25"/>
      <c r="K35" s="25"/>
      <c r="L35" s="26" t="str">
        <f t="shared" si="4"/>
        <v>Standard Price</v>
      </c>
      <c r="M35" s="26" t="str">
        <f t="shared" si="0"/>
        <v>High Price</v>
      </c>
      <c r="N35" s="25"/>
      <c r="O35" s="25"/>
      <c r="P35" s="25" t="str">
        <f t="shared" si="1"/>
        <v>09</v>
      </c>
      <c r="Q35" s="25" t="str">
        <f t="shared" si="2"/>
        <v>FR</v>
      </c>
      <c r="R35" s="27" t="str">
        <f t="shared" si="3"/>
        <v>JUL</v>
      </c>
    </row>
    <row r="36" spans="1:22" ht="15.75" customHeight="1" x14ac:dyDescent="0.2"/>
    <row r="37" spans="1:22" ht="15.75" customHeight="1" x14ac:dyDescent="0.2"/>
    <row r="38" spans="1:22" ht="15.75" customHeight="1" x14ac:dyDescent="0.2"/>
    <row r="39" spans="1:22" ht="15.75" customHeight="1" x14ac:dyDescent="0.2"/>
    <row r="40" spans="1:22" ht="15.75" customHeight="1" x14ac:dyDescent="0.2"/>
    <row r="41" spans="1:22" ht="15.75" customHeight="1" x14ac:dyDescent="0.2"/>
    <row r="42" spans="1:22" ht="15.75" customHeight="1" x14ac:dyDescent="0.2"/>
    <row r="43" spans="1:22" ht="15.75" customHeight="1" x14ac:dyDescent="0.2"/>
    <row r="44" spans="1:22" ht="15.75" customHeight="1" x14ac:dyDescent="0.2"/>
    <row r="45" spans="1:22" ht="15.75" customHeight="1" x14ac:dyDescent="0.2"/>
    <row r="46" spans="1:22" ht="15.75" customHeight="1" x14ac:dyDescent="0.2"/>
    <row r="47" spans="1:22" ht="15.75" customHeight="1" x14ac:dyDescent="0.2"/>
    <row r="48" spans="1:2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S0993912</cp:lastModifiedBy>
  <dcterms:modified xsi:type="dcterms:W3CDTF">2026-09-21T07:55:52Z</dcterms:modified>
</cp:coreProperties>
</file>